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" sheetId="1" state="visible" r:id="rId1"/>
    <sheet xmlns:r="http://schemas.openxmlformats.org/officeDocument/2006/relationships" name="기준값" sheetId="2" state="visible" r:id="rId2"/>
    <sheet xmlns:r="http://schemas.openxmlformats.org/officeDocument/2006/relationships" name="설명" sheetId="3" state="visible" r:id="rId3"/>
  </sheets>
  <definedNames>
    <definedName name="_xlnm.Print_Area" localSheetId="0">'판정'!$A$1:$F$54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%"/>
    <numFmt numFmtId="166" formatCode="0.0000"/>
    <numFmt numFmtId="167" formatCode="#,##0&quot;원&quot;"/>
  </numFmts>
  <fonts count="19">
    <font>
      <name val="Calibri"/>
      <family val="2"/>
      <color theme="1"/>
      <sz val="11"/>
      <scheme val="minor"/>
    </font>
    <font>
      <name val="맑은 고딕"/>
      <b val="1"/>
      <color rgb="0018191D"/>
      <sz val="13"/>
    </font>
    <font>
      <name val="맑은 고딕"/>
      <color rgb="004E5968"/>
      <sz val="10"/>
    </font>
    <font>
      <name val="맑은 고딕"/>
      <b val="1"/>
      <color rgb="004E5968"/>
      <sz val="10"/>
    </font>
    <font>
      <name val="맑은 고딕"/>
      <color rgb="0018191D"/>
      <sz val="10"/>
    </font>
    <font>
      <name val="맑은 고딕"/>
      <b val="1"/>
      <color rgb="0018191D"/>
      <sz val="10"/>
    </font>
    <font>
      <name val="맑은 고딕"/>
      <color rgb="004E5968"/>
      <sz val="9"/>
    </font>
    <font>
      <name val="맑은 고딕"/>
      <b val="1"/>
      <color rgb="0018191D"/>
      <sz val="11"/>
    </font>
    <font>
      <name val="맑은 고딕"/>
      <b val="1"/>
      <color rgb="00FF5A00"/>
      <sz val="11"/>
    </font>
    <font>
      <name val="맑은 고딕"/>
      <color rgb="0018191D"/>
      <sz val="9"/>
    </font>
    <font>
      <name val="맑은 고딕"/>
      <b val="1"/>
      <color rgb="00FF5A00"/>
      <sz val="9"/>
    </font>
    <font>
      <name val="맑은 고딕"/>
      <color rgb="0018191D"/>
      <sz val="11"/>
    </font>
    <font>
      <name val="맑은 고딕"/>
      <b val="1"/>
      <color rgb="00FF5A00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b val="1"/>
      <color rgb="0018191D"/>
      <sz val="14"/>
    </font>
    <font>
      <name val="맑은 고딕"/>
      <color rgb="004E5968"/>
      <sz val="9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4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  <border>
      <left/>
      <right/>
      <top/>
      <bottom style="thin">
        <color rgb="00E5E8EB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2" fillId="0" borderId="0" pivotButton="0" quotePrefix="0" xfId="0"/>
    <xf numFmtId="167" fontId="15" fillId="0" borderId="1" applyAlignment="1" pivotButton="0" quotePrefix="0" xfId="0">
      <alignment horizontal="left"/>
    </xf>
    <xf numFmtId="0" fontId="0" fillId="0" borderId="3" pivotButton="0" quotePrefix="0" xfId="0"/>
    <xf numFmtId="0" fontId="7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3" fontId="7" fillId="2" borderId="2" pivotButton="0" quotePrefix="0" xfId="0"/>
    <xf numFmtId="0" fontId="6" fillId="0" borderId="0" applyAlignment="1" pivotButton="0" quotePrefix="0" xfId="0">
      <alignment vertical="center" wrapText="1"/>
    </xf>
    <xf numFmtId="49" fontId="7" fillId="2" borderId="2" applyAlignment="1" pivotButton="0" quotePrefix="0" xfId="0">
      <alignment horizontal="left"/>
    </xf>
    <xf numFmtId="0" fontId="3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0" fontId="5" fillId="0" borderId="0" pivotButton="0" quotePrefix="0" xfId="0"/>
    <xf numFmtId="3" fontId="5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49" fontId="5" fillId="0" borderId="0" applyAlignment="1" pivotButton="0" quotePrefix="0" xfId="0">
      <alignment horizontal="right"/>
    </xf>
    <xf numFmtId="0" fontId="16" fillId="0" borderId="0" pivotButton="0" quotePrefix="0" xfId="0"/>
    <xf numFmtId="0" fontId="1" fillId="0" borderId="0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3" fontId="5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9" fontId="5" fillId="2" borderId="0" applyAlignment="1" pivotButton="0" quotePrefix="0" xfId="0">
      <alignment vertical="top" wrapText="1"/>
    </xf>
    <xf numFmtId="10" fontId="5" fillId="2" borderId="0" applyAlignment="1" pivotButton="0" quotePrefix="0" xfId="0">
      <alignment vertical="top" wrapText="1"/>
    </xf>
    <xf numFmtId="164" fontId="5" fillId="2" borderId="0" applyAlignment="1" pivotButton="0" quotePrefix="0" xfId="0">
      <alignment vertical="top" wrapText="1"/>
    </xf>
    <xf numFmtId="165" fontId="5" fillId="2" borderId="0" applyAlignment="1" pivotButton="0" quotePrefix="0" xfId="0">
      <alignment vertical="top" wrapText="1"/>
    </xf>
    <xf numFmtId="166" fontId="5" fillId="2" borderId="0" applyAlignment="1" pivotButton="0" quotePrefix="0" xfId="0">
      <alignment vertical="top" wrapText="1"/>
    </xf>
    <xf numFmtId="3" fontId="4" fillId="2" borderId="0" pivotButton="0" quotePrefix="0" xfId="0"/>
    <xf numFmtId="9" fontId="4" fillId="2" borderId="0" pivotButton="0" quotePrefix="0" xfId="0"/>
    <xf numFmtId="0" fontId="4" fillId="0" borderId="0" applyAlignment="1" pivotButton="0" quotePrefix="0" xfId="0">
      <alignment horizontal="left"/>
    </xf>
    <xf numFmtId="3" fontId="4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remap.kr/health-insurance?utm_source=xlsx&amp;utm_medium=sheet&amp;utm_campaign=fin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fin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7" customWidth="1" min="3" max="3"/>
    <col width="12" customWidth="1" min="4" max="4"/>
    <col width="46" customWidth="1" min="5" max="5"/>
    <col width="2" customWidth="1" min="6" max="6"/>
  </cols>
  <sheetData>
    <row r="2">
      <c r="B2" s="1">
        <f>TRIM(IF(AND(C15="피부양자",C39="확인 필요"),"피부양자 판정이 갈려요: 1천만원 이하 금융소득을 소득에 넣는지 공단 안내에 없어요(기준값 시트). ","")&amp;IF(AND(N(C14)&gt;0,C31&gt;0),"해외주식 배당이 있다면 외국에서 낸 세금 공제를 넣지 않아 더 내는 소득세가 실제보다 크게 나올 수 있어요. ",""))</f>
        <v/>
      </c>
    </row>
    <row r="3">
      <c r="B3" s="2">
        <f>IF(C15="피부양자",IF(C39="유지","피부양자 유지 · 건보료",IF(C39="탈락","피부양자에서 빠지면 지역가입자로 내는 건보료","피부양자 판정 확인 필요")),"금융소득 때문에 붙는 건보료")</f>
        <v/>
      </c>
    </row>
    <row r="4">
      <c r="B4" s="3">
        <f>IF(C15="피부양자",IF(C39="유지","월 0원",IF(C39="탈락","월 "&amp;TEXT(C49,"#,##0")&amp;"원","유지 또는 월 "&amp;TEXT(C49,"#,##0")&amp;"원")),"월 "&amp;TEXT(C51,"#,##0")&amp;"원")</f>
        <v/>
      </c>
    </row>
    <row r="5"/>
    <row r="6"/>
    <row r="7">
      <c r="B7" s="2">
        <f>IF(C15="피부양자",IF(C39="유지","지금 금액이면 건보료가 붙지 않아요",IF(C39="탈락","탈락하면 지역가입자 월 "&amp;TEXT(C49,"#,##0")&amp;"원"&amp;" · 금융소득이 없어도 월 "&amp;TEXT(C50,"#,##0")&amp;"원","공단(1577-1000) 확인 필요 · 탈락하면 지역가입자 월 "&amp;TEXT(C49,"#,##0")&amp;"원")),IF(C51&lt;=0,"금융소득 때문에 늘어나는 건보료는 없어요 · 전체 월 "&amp;TEXT(C49,"#,##0")&amp;"원","지금 이 금액이면 건보료가 월 "&amp;TEXT(C51,"#,##0")&amp;"원"&amp;" 붙어요 · 전체 월 "&amp;TEXT(C49,"#,##0")&amp;"원"))</f>
        <v/>
      </c>
    </row>
    <row r="8">
      <c r="B8" s="2">
        <f>IF(C31&lt;=0,"종합과세로 더 내는 소득세는 없어요","종합과세로 소득세를 1년에 "&amp;TEXT(C31,"#,##0")&amp;"원"&amp;" 더 내요")</f>
        <v/>
      </c>
    </row>
    <row r="9">
      <c r="B9" s="4" t="inlineStr">
        <is>
          <t>종합과세로 더 내는 소득세(연)</t>
        </is>
      </c>
      <c r="C9" s="4" t="inlineStr">
        <is>
          <t>피부양자 판정</t>
        </is>
      </c>
      <c r="E9" s="4" t="inlineStr">
        <is>
          <t>지역가입자면 월 건보료</t>
        </is>
      </c>
    </row>
    <row r="10">
      <c r="B10" s="5">
        <f>C31</f>
        <v/>
      </c>
      <c r="C10" s="5">
        <f>C39</f>
        <v/>
      </c>
      <c r="D10" s="6" t="n"/>
      <c r="E10" s="5">
        <f>C49</f>
        <v/>
      </c>
    </row>
    <row r="11">
      <c r="B11" s="7" t="inlineStr">
        <is>
          <t>넣는 칸</t>
        </is>
      </c>
      <c r="E11" s="8" t="inlineStr">
        <is>
          <t>1년 금액, 세금 떼기 전 · 빈칸은 0</t>
        </is>
      </c>
    </row>
    <row r="12" ht="30" customHeight="1">
      <c r="B12" s="9" t="inlineStr">
        <is>
          <t>이자</t>
        </is>
      </c>
      <c r="C12" s="10" t="n">
        <v>8000000</v>
      </c>
      <c r="D12" s="4" t="inlineStr">
        <is>
          <t>원</t>
        </is>
      </c>
      <c r="E12" s="11" t="inlineStr">
        <is>
          <t>예금·적금·채권 이자</t>
        </is>
      </c>
    </row>
    <row r="13" ht="30" customHeight="1">
      <c r="B13" s="9" t="inlineStr">
        <is>
          <t>배당 · 국내 상장주식</t>
        </is>
      </c>
      <c r="C13" s="10" t="n">
        <v>10000000</v>
      </c>
      <c r="D13" s="4" t="inlineStr">
        <is>
          <t>원</t>
        </is>
      </c>
      <c r="E13" s="11" t="inlineStr">
        <is>
          <t>배당가산 대상. 잘 모르면 아래 칸에 넣으세요(세금이 실제와 같거나 크게 나와요)</t>
        </is>
      </c>
    </row>
    <row r="14" ht="30" customHeight="1">
      <c r="B14" s="9" t="inlineStr">
        <is>
          <t>배당 · ETF 분배금·해외주식 등</t>
        </is>
      </c>
      <c r="C14" s="10" t="n">
        <v>6000000</v>
      </c>
      <c r="D14" s="4" t="inlineStr">
        <is>
          <t>원</t>
        </is>
      </c>
      <c r="E14" s="11" t="inlineStr">
        <is>
          <t>국내 증권사 계좌에서 세금을 떼고 받은 것</t>
        </is>
      </c>
    </row>
    <row r="15" ht="30" customHeight="1">
      <c r="B15" s="9" t="inlineStr">
        <is>
          <t>지금 건강보험</t>
        </is>
      </c>
      <c r="C15" s="12" t="inlineStr">
        <is>
          <t>피부양자</t>
        </is>
      </c>
      <c r="D15" s="4" t="inlineStr"/>
      <c r="E15" s="11" t="inlineStr">
        <is>
          <t>직장가입자 가족의 피부양자인지, 지역가입자인지</t>
        </is>
      </c>
    </row>
    <row r="16" ht="30" customHeight="1">
      <c r="B16" s="9" t="inlineStr">
        <is>
          <t>(선택) 공적연금·근로소득</t>
        </is>
      </c>
      <c r="C16" s="10" t="n">
        <v>12000000</v>
      </c>
      <c r="D16" s="4" t="inlineStr">
        <is>
          <t>원</t>
        </is>
      </c>
      <c r="E16" s="11" t="inlineStr">
        <is>
          <t>건보 계산에만 씀. 국민연금 등 1년 받은 총액. 사적연금은 넣지 않아요</t>
        </is>
      </c>
    </row>
    <row r="17" ht="30" customHeight="1">
      <c r="B17" s="9" t="inlineStr">
        <is>
          <t>(선택) 그 밖의 종합소득금액</t>
        </is>
      </c>
      <c r="C17" s="10" t="n">
        <v>0</v>
      </c>
      <c r="D17" s="4" t="inlineStr">
        <is>
          <t>원</t>
        </is>
      </c>
      <c r="E17" s="11" t="inlineStr">
        <is>
          <t>세금 계산에만 씀. 종합소득세 신고서의 소득금액(이자·배당 뺀 것)</t>
        </is>
      </c>
    </row>
    <row r="18" ht="30" customHeight="1">
      <c r="B18" s="9" t="inlineStr">
        <is>
          <t>(선택) 재산세 과세표준 합계</t>
        </is>
      </c>
      <c r="C18" s="10" t="n">
        <v>300000000</v>
      </c>
      <c r="D18" s="4" t="inlineStr">
        <is>
          <t>원</t>
        </is>
      </c>
      <c r="E18" s="11" t="inlineStr">
        <is>
          <t>집·땅·건물. 재산세 고지서의 과세표준(시세보다 낮아요)</t>
        </is>
      </c>
    </row>
    <row r="20">
      <c r="B20" s="7" t="inlineStr">
        <is>
          <t>근거 표</t>
        </is>
      </c>
      <c r="E20" s="13" t="inlineStr">
        <is>
          <t>근거</t>
        </is>
      </c>
    </row>
    <row r="21">
      <c r="B21" s="14" t="inlineStr">
        <is>
          <t>① 금융소득 종합과세 — 소득세</t>
        </is>
      </c>
      <c r="C21" s="15" t="n"/>
      <c r="D21" s="15" t="n"/>
      <c r="E21" s="15" t="n"/>
    </row>
    <row r="22">
      <c r="B22" s="16" t="inlineStr">
        <is>
          <t>금융소득 합계</t>
        </is>
      </c>
      <c r="C22" s="17">
        <f>(N(C12)+N(C13)+N(C14))</f>
        <v/>
      </c>
      <c r="D22" s="8" t="inlineStr">
        <is>
          <t>원</t>
        </is>
      </c>
      <c r="E22" s="11" t="inlineStr">
        <is>
          <t>이자 + 배당(받은 금액, 세전)</t>
        </is>
      </c>
    </row>
    <row r="23">
      <c r="B23" s="16" t="inlineStr">
        <is>
          <t>2천만원을 넘는 금액</t>
        </is>
      </c>
      <c r="C23" s="17">
        <f>MAX(0,C22-기준값!$C$6)</f>
        <v/>
      </c>
      <c r="D23" s="8" t="inlineStr">
        <is>
          <t>원</t>
        </is>
      </c>
      <c r="E23" s="11" t="inlineStr">
        <is>
          <t>소득세법 제14조제3항제6호</t>
        </is>
      </c>
    </row>
    <row r="24">
      <c r="B24" s="16" t="inlineStr">
        <is>
          <t>배당가산 대상 배당 가운데 넘는 부분</t>
        </is>
      </c>
      <c r="C24" s="17">
        <f>MIN(N(C13),C23)</f>
        <v/>
      </c>
      <c r="D24" s="8" t="inlineStr">
        <is>
          <t>원</t>
        </is>
      </c>
      <c r="E24" s="11" t="inlineStr">
        <is>
          <t>이자 → 그 밖의 배당 → 국내 상장주식 배당 순으로 2천만원을 채운다(시행령 제116조의2)</t>
        </is>
      </c>
    </row>
    <row r="25">
      <c r="B25" s="16" t="inlineStr">
        <is>
          <t>배당가산액</t>
        </is>
      </c>
      <c r="C25" s="17">
        <f>ROUND(C24*기준값!$C$9,0)</f>
        <v/>
      </c>
      <c r="D25" s="8" t="inlineStr">
        <is>
          <t>원</t>
        </is>
      </c>
      <c r="E25" s="11" t="inlineStr">
        <is>
          <t>소득세법 제17조제3항·제56조제4항</t>
        </is>
      </c>
    </row>
    <row r="26">
      <c r="B26" s="16" t="inlineStr">
        <is>
          <t>기본세율을 매기는 금액</t>
        </is>
      </c>
      <c r="C26" s="17">
        <f>IF(C22&gt;기준값!$C$6,MAX(0,C23+C25+N(C17)-기준값!$C$10),"")</f>
        <v/>
      </c>
      <c r="D26" s="8" t="inlineStr">
        <is>
          <t>원</t>
        </is>
      </c>
      <c r="E26" s="11" t="inlineStr">
        <is>
          <t>2천만원 초과 금융소득 + 배당가산액 + 다른 종합소득금액 − 소득공제</t>
        </is>
      </c>
    </row>
    <row r="27">
      <c r="B27" s="16" t="inlineStr">
        <is>
          <t>종합과세 시 세액 ①</t>
        </is>
      </c>
      <c r="C27" s="17">
        <f>IF(C22&gt;기준값!$C$6,ROUND(기준값!$C$6*기준값!$C$7+IF((C26)&lt;=0,0,INDEX(기준값!$C$28:$C$35,COUNTIF(기준값!$B$28:$B$35,"&lt;"&amp;(C26)))+((C26)-INDEX(기준값!$B$28:$B$35,COUNTIF(기준값!$B$28:$B$35,"&lt;"&amp;(C26))))*INDEX(기준값!$E$28:$E$35,COUNTIF(기준값!$B$28:$B$35,"&lt;"&amp;(C26)))),0),"")</f>
        <v/>
      </c>
      <c r="D27" s="8" t="inlineStr">
        <is>
          <t>원</t>
        </is>
      </c>
      <c r="E27" s="11" t="inlineStr">
        <is>
          <t>2천만원×14% + 위 금액×기본세율(제62조제1호, 국세상담센터 산식 ①)</t>
        </is>
      </c>
    </row>
    <row r="28">
      <c r="B28" s="16" t="inlineStr">
        <is>
          <t>분리과세 시 세액 ②</t>
        </is>
      </c>
      <c r="C28" s="17">
        <f>ROUND(N(C12)*기준값!$C$7+(N(C13)+N(C14))*기준값!$C$8+IF((MAX(0,N(C17)-기준값!$C$10))&lt;=0,0,INDEX(기준값!$C$28:$C$35,COUNTIF(기준값!$B$28:$B$35,"&lt;"&amp;(MAX(0,N(C17)-기준값!$C$10))))+((MAX(0,N(C17)-기준값!$C$10))-INDEX(기준값!$B$28:$B$35,COUNTIF(기준값!$B$28:$B$35,"&lt;"&amp;(MAX(0,N(C17)-기준값!$C$10)))))*INDEX(기준값!$E$28:$E$35,COUNTIF(기준값!$B$28:$B$35,"&lt;"&amp;(MAX(0,N(C17)-기준값!$C$10))))),0)</f>
        <v/>
      </c>
      <c r="D28" s="8" t="inlineStr">
        <is>
          <t>원</t>
        </is>
      </c>
      <c r="E28" s="11" t="inlineStr">
        <is>
          <t>금융소득×14% + (다른 종합소득금액 − 소득공제)×기본세율(제62조제2호, 산식 ②)</t>
        </is>
      </c>
    </row>
    <row r="29">
      <c r="B29" s="16" t="inlineStr">
        <is>
          <t>배당세액공제</t>
        </is>
      </c>
      <c r="C29" s="17">
        <f>IF(C22&gt;기준값!$C$6,C25,0)</f>
        <v/>
      </c>
      <c r="D29" s="8" t="inlineStr">
        <is>
          <t>원</t>
        </is>
      </c>
      <c r="E29" s="11" t="inlineStr">
        <is>
          <t>소득세법 제56조제1항</t>
        </is>
      </c>
    </row>
    <row r="30">
      <c r="B30" s="16" t="inlineStr">
        <is>
          <t>세금 기준 금액</t>
        </is>
      </c>
      <c r="C30" s="17">
        <f>IF(C22&gt;기준값!$C$6,MAX(C27-C29,C28),C28)</f>
        <v/>
      </c>
      <c r="D30" s="8" t="inlineStr">
        <is>
          <t>원</t>
        </is>
      </c>
      <c r="E30" s="11" t="inlineStr">
        <is>
          <t>(① − 배당세액공제)와 ② 가운데 큰 것(제15조제2호·제62조)</t>
        </is>
      </c>
    </row>
    <row r="31">
      <c r="B31" s="18" t="inlineStr">
        <is>
          <t>종합과세로 더 내는 소득세(연)</t>
        </is>
      </c>
      <c r="C31" s="19">
        <f>C30-C28</f>
        <v/>
      </c>
      <c r="D31" s="8" t="inlineStr">
        <is>
          <t>원</t>
        </is>
      </c>
      <c r="E31" s="11" t="inlineStr">
        <is>
          <t>세금 기준 금액 − ②. ②는 원천징수 14%와 다른 소득 세금이라 어차피 내는 돈</t>
        </is>
      </c>
    </row>
    <row r="32">
      <c r="B32" s="14" t="inlineStr">
        <is>
          <t>② 피부양자 — 소득·재산 요건</t>
        </is>
      </c>
      <c r="C32" s="15" t="n"/>
      <c r="D32" s="15" t="n"/>
      <c r="E32" s="15" t="n"/>
    </row>
    <row r="33">
      <c r="B33" s="16" t="inlineStr">
        <is>
          <t>건보 소득에 들어가는 금융소득</t>
        </is>
      </c>
      <c r="C33" s="17">
        <f>IF(C22&gt;기준값!$C$15,C22,0)</f>
        <v/>
      </c>
      <c r="D33" s="8" t="inlineStr">
        <is>
          <t>원</t>
        </is>
      </c>
      <c r="E33" s="11" t="inlineStr">
        <is>
          <t>1천만원 이하면 0, 넘으면 전액(시행규칙 제44조제1항 단서)</t>
        </is>
      </c>
    </row>
    <row r="34">
      <c r="B34" s="16" t="inlineStr">
        <is>
          <t>합산소득 A — 금융소득을 모두 넣으면</t>
        </is>
      </c>
      <c r="C34" s="17">
        <f>C22+N(C16)</f>
        <v/>
      </c>
      <c r="D34" s="8" t="inlineStr">
        <is>
          <t>원</t>
        </is>
      </c>
      <c r="E34" s="11" t="inlineStr">
        <is>
          <t>공단 누리집 "모든 소득(사업·금융·연금·근로기타소득 등)을 합하여"</t>
        </is>
      </c>
    </row>
    <row r="35">
      <c r="B35" s="16" t="inlineStr">
        <is>
          <t>합산소득 B — 1천만원 이하 금융소득을 빼면</t>
        </is>
      </c>
      <c r="C35" s="17">
        <f>C33+N(C16)</f>
        <v/>
      </c>
      <c r="D35" s="8" t="inlineStr">
        <is>
          <t>원</t>
        </is>
      </c>
      <c r="E35" s="11" t="inlineStr">
        <is>
          <t>소득월액 규칙(시행규칙 제44조제1항 단서)을 그대로 쓸 때</t>
        </is>
      </c>
    </row>
    <row r="36">
      <c r="B36" s="16" t="inlineStr">
        <is>
          <t>소득 한도</t>
        </is>
      </c>
      <c r="C36" s="17">
        <f>IF(N(C18)&gt;기준값!$C$22,기준값!$C$24,기준값!$C$21)</f>
        <v/>
      </c>
      <c r="D36" s="8" t="inlineStr">
        <is>
          <t>원</t>
        </is>
      </c>
      <c r="E36" s="11" t="inlineStr">
        <is>
          <t>재산 과표 5.4억원 이하 2천만원, 5.4억~9억원 1천만원(별표 1의2)</t>
        </is>
      </c>
    </row>
    <row r="37">
      <c r="B37" s="16" t="inlineStr">
        <is>
          <t>판정 A</t>
        </is>
      </c>
      <c r="C37" s="20">
        <f>IF(N(C18)&gt;기준값!$C$23,"탈락",IF(C34&lt;=C36,"유지","탈락"))</f>
        <v/>
      </c>
      <c r="E37" s="11" t="inlineStr">
        <is>
          <t>재산 과표 9억원 넘으면 탈락(별표 1의2 제2호)</t>
        </is>
      </c>
    </row>
    <row r="38">
      <c r="B38" s="16" t="inlineStr">
        <is>
          <t>판정 B</t>
        </is>
      </c>
      <c r="C38" s="20">
        <f>IF(N(C18)&gt;기준값!$C$23,"탈락",IF(C35&lt;=C36,"유지","탈락"))</f>
        <v/>
      </c>
      <c r="E38" s="11" t="inlineStr"/>
    </row>
    <row r="39">
      <c r="B39" s="18" t="inlineStr">
        <is>
          <t>피부양자 판정</t>
        </is>
      </c>
      <c r="C39" s="21">
        <f>IF(C37=C38,C37,"확인 필요")</f>
        <v/>
      </c>
      <c r="E39" s="11" t="inlineStr">
        <is>
          <t>A와 B가 다르면 공단(1577-1000)에 확인. 기준값 시트 "확인 필요" 첫 줄</t>
        </is>
      </c>
    </row>
    <row r="40">
      <c r="B40" s="14" t="inlineStr">
        <is>
          <t>③ 지역가입자 — 월 건강보험료</t>
        </is>
      </c>
      <c r="C40" s="15" t="n"/>
      <c r="D40" s="15" t="n"/>
      <c r="E40" s="15" t="n"/>
    </row>
    <row r="41">
      <c r="B41" s="16" t="inlineStr">
        <is>
          <t>건보 소득(연)</t>
        </is>
      </c>
      <c r="C41" s="17">
        <f>C33+N(C16)*기준값!$C$16</f>
        <v/>
      </c>
      <c r="D41" s="8" t="inlineStr">
        <is>
          <t>원</t>
        </is>
      </c>
      <c r="E41" s="11" t="inlineStr">
        <is>
          <t>금융소득(1천만원 넘을 때) + 공적연금·근로소득의 50%</t>
        </is>
      </c>
    </row>
    <row r="42">
      <c r="B42" s="16" t="inlineStr">
        <is>
          <t>소득월액</t>
        </is>
      </c>
      <c r="C42" s="17">
        <f>C41/12</f>
        <v/>
      </c>
      <c r="D42" s="8" t="inlineStr">
        <is>
          <t>원</t>
        </is>
      </c>
      <c r="E42" s="11" t="inlineStr">
        <is>
          <t>연간 소득 ÷ 12(국민건강보험법 제71조제2항)</t>
        </is>
      </c>
    </row>
    <row r="43">
      <c r="B43" s="16" t="inlineStr">
        <is>
          <t>소득 보험료</t>
        </is>
      </c>
      <c r="C43" s="17">
        <f>IF(C42&lt;=기준값!$C$17,기준값!$C$18,C42*기준값!$C$11)</f>
        <v/>
      </c>
      <c r="D43" s="8" t="inlineStr">
        <is>
          <t>원</t>
        </is>
      </c>
      <c r="E43" s="11" t="inlineStr">
        <is>
          <t>소득월액 × 7.19%. 28만원 이하면 하한 20,160원(시행규칙 제44조제3항, 고시 제3조)</t>
        </is>
      </c>
    </row>
    <row r="44">
      <c r="B44" s="16" t="inlineStr">
        <is>
          <t>재산 금액(1억원 공제 뒤)</t>
        </is>
      </c>
      <c r="C44" s="17">
        <f>MAX(0,N(C18)-기준값!$C$20)</f>
        <v/>
      </c>
      <c r="D44" s="8" t="inlineStr">
        <is>
          <t>원</t>
        </is>
      </c>
      <c r="E44" s="11" t="inlineStr">
        <is>
          <t>시행령 별표 4 제1호</t>
        </is>
      </c>
    </row>
    <row r="45">
      <c r="B45" s="16" t="inlineStr">
        <is>
          <t>재산 점수</t>
        </is>
      </c>
      <c r="C45" s="17">
        <f>IF(C44&lt;=0,0,INDEX(기준값!$F$40:$F$99,COUNTIF(기준값!$C$40:$C$99,"&lt;"&amp;C44)))</f>
        <v/>
      </c>
      <c r="D45" s="8" t="inlineStr">
        <is>
          <t>점</t>
        </is>
      </c>
      <c r="E45" s="11" t="inlineStr">
        <is>
          <t>시행령 별표 4 제3호 60등급</t>
        </is>
      </c>
    </row>
    <row r="46">
      <c r="B46" s="16" t="inlineStr">
        <is>
          <t>재산 보험료</t>
        </is>
      </c>
      <c r="C46" s="17">
        <f>C45*기준값!$C$12</f>
        <v/>
      </c>
      <c r="D46" s="8" t="inlineStr">
        <is>
          <t>원</t>
        </is>
      </c>
      <c r="E46" s="11" t="inlineStr">
        <is>
          <t>점수 × 211.5원(시행령 제44조제2항)</t>
        </is>
      </c>
    </row>
    <row r="47">
      <c r="B47" s="16" t="inlineStr">
        <is>
          <t>건강보험료</t>
        </is>
      </c>
      <c r="C47" s="17">
        <f>MIN(MAX(C43+C46,기준값!$C$18),기준값!$C$19)</f>
        <v/>
      </c>
      <c r="D47" s="8" t="inlineStr">
        <is>
          <t>원</t>
        </is>
      </c>
      <c r="E47" s="11" t="inlineStr">
        <is>
          <t>소득 + 재산(국민건강보험법 제69조제5항), 하한 20,160원·상한 4,591,740원(제69조제6항, 고시)</t>
        </is>
      </c>
    </row>
    <row r="48">
      <c r="B48" s="16" t="inlineStr">
        <is>
          <t>장기요양보험료</t>
        </is>
      </c>
      <c r="C48" s="17">
        <f>C47*기준값!$C$14</f>
        <v/>
      </c>
      <c r="D48" s="8" t="inlineStr">
        <is>
          <t>원</t>
        </is>
      </c>
      <c r="E48" s="11" t="inlineStr">
        <is>
          <t>건강보험료 × 13.14%(0.9448÷7.19를 넷째자리까지, 노인장기요양보험법 제9조)</t>
        </is>
      </c>
    </row>
    <row r="49">
      <c r="B49" s="18" t="inlineStr">
        <is>
          <t>지역가입자 월 보험료 합계</t>
        </is>
      </c>
      <c r="C49" s="19">
        <f>ROUND(C47+C48,0)</f>
        <v/>
      </c>
      <c r="D49" s="8" t="inlineStr">
        <is>
          <t>원</t>
        </is>
      </c>
      <c r="E49" s="11" t="inlineStr">
        <is>
          <t>건강보험료 + 장기요양보험료</t>
        </is>
      </c>
    </row>
    <row r="50">
      <c r="B50" s="16" t="inlineStr">
        <is>
          <t>금융소득이 없을 때 월 보험료</t>
        </is>
      </c>
      <c r="C50" s="17">
        <f>ROUND(MIN(MAX(IF(((0)+(N(C16))*기준값!$C$16)/12&lt;=기준값!$C$17,기준값!$C$18,((0)+(N(C16))*기준값!$C$16)/12*기준값!$C$11)+IF(MAX(0,(N(C18))-기준값!$C$20)&lt;=0,0,INDEX(기준값!$F$40:$F$99,COUNTIF(기준값!$C$40:$C$99,"&lt;"&amp;MAX(0,(N(C18))-기준값!$C$20)))*기준값!$C$12),기준값!$C$18),기준값!$C$19)*(1+기준값!$C$14),0)</f>
        <v/>
      </c>
      <c r="D50" s="8" t="inlineStr">
        <is>
          <t>원</t>
        </is>
      </c>
      <c r="E50" s="11" t="inlineStr">
        <is>
          <t>같은 식에 금융소득 0</t>
        </is>
      </c>
    </row>
    <row r="51">
      <c r="B51" s="18" t="inlineStr">
        <is>
          <t>금융소득 때문에 늘어난 월 보험료</t>
        </is>
      </c>
      <c r="C51" s="19">
        <f>C49-C50</f>
        <v/>
      </c>
      <c r="D51" s="8" t="inlineStr">
        <is>
          <t>원</t>
        </is>
      </c>
      <c r="E51" s="11" t="inlineStr"/>
    </row>
    <row r="53">
      <c r="B53" s="8" t="inlineStr">
        <is>
          <t>2026년 요율 기준 계산 도구예요. 투자 권유가 아니고, 정확한 금액은 국세청·국민건강보험공단에서 확인하세요.</t>
        </is>
      </c>
    </row>
    <row r="54">
      <c r="B54" s="22" t="inlineStr">
        <is>
          <t>파이어맵 건보료 계산기와 같은 줄기 · firemap.kr/health-insurance</t>
        </is>
      </c>
    </row>
  </sheetData>
  <mergeCells count="3">
    <mergeCell ref="B4:E6"/>
    <mergeCell ref="C10:D10"/>
    <mergeCell ref="C9:D9"/>
  </mergeCells>
  <dataValidations count="1">
    <dataValidation sqref="C15" showDropDown="0" showInputMessage="0" showErrorMessage="0" allowBlank="0" type="list">
      <formula1>"피부양자,지역가입자"</formula1>
    </dataValidation>
  </dataValidations>
  <hyperlinks>
    <hyperlink xmlns:r="http://schemas.openxmlformats.org/officeDocument/2006/relationships" ref="B54" r:id="rId1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1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6" customWidth="1" min="4" max="4"/>
    <col width="34" customWidth="1" min="5" max="5"/>
    <col width="70" customWidth="1" min="6" max="6"/>
    <col width="40" customWidth="1" min="7" max="7"/>
    <col width="10" customWidth="1" min="8" max="8"/>
  </cols>
  <sheetData>
    <row r="2">
      <c r="B2" s="23" t="inlineStr">
        <is>
          <t>기준값 — 해마다 바뀌는 값은 여기만 고친다</t>
        </is>
      </c>
    </row>
    <row r="3">
      <c r="B3" s="4" t="inlineStr">
        <is>
          <t>원문은 국가법령정보센터(law.go.kr)·국민건강보험공단·국세청 누리집에서 2026-10-12에 확인했다.</t>
        </is>
      </c>
    </row>
    <row r="5">
      <c r="B5" s="24" t="inlineStr">
        <is>
          <t>항목</t>
        </is>
      </c>
      <c r="C5" s="24" t="inlineStr">
        <is>
          <t>값</t>
        </is>
      </c>
      <c r="D5" s="24" t="inlineStr">
        <is>
          <t>단위</t>
        </is>
      </c>
      <c r="E5" s="24" t="inlineStr">
        <is>
          <t>근거</t>
        </is>
      </c>
      <c r="F5" s="24" t="inlineStr">
        <is>
          <t>원문 문장</t>
        </is>
      </c>
      <c r="G5" s="24" t="inlineStr">
        <is>
          <t>시행·적용</t>
        </is>
      </c>
      <c r="H5" s="24" t="inlineStr">
        <is>
          <t>확인</t>
        </is>
      </c>
    </row>
    <row r="6">
      <c r="B6" s="25" t="inlineStr">
        <is>
          <t>종합과세기준금액</t>
        </is>
      </c>
      <c r="C6" s="26" t="n">
        <v>20000000</v>
      </c>
      <c r="D6" s="27" t="inlineStr">
        <is>
          <t>원</t>
        </is>
      </c>
      <c r="E6" s="25" t="inlineStr">
        <is>
          <t>소득세법 제14조제3항제6호</t>
        </is>
      </c>
      <c r="F6" s="28" t="inlineStr">
        <is>
          <t>이자소득과 배당소득으로서 그 소득의 합계액이 2천만원(이하 "이자소득등의 종합과세기준금액"이라 한다) 이하이면서 제127조에 따라 원천징수된 소득</t>
        </is>
      </c>
      <c r="G6" s="28" t="inlineStr">
        <is>
          <t>현행(2026.4.21 시행판)</t>
        </is>
      </c>
      <c r="H6" s="28" t="inlineStr">
        <is>
          <t>확인함</t>
        </is>
      </c>
    </row>
    <row r="7">
      <c r="B7" s="25" t="inlineStr">
        <is>
          <t>원천징수세율 · 이자</t>
        </is>
      </c>
      <c r="C7" s="29" t="n">
        <v>0.14</v>
      </c>
      <c r="D7" s="27" t="inlineStr"/>
      <c r="E7" s="25" t="inlineStr">
        <is>
          <t>소득세법 제129조제1항제1호라목</t>
        </is>
      </c>
      <c r="F7" s="28" t="inlineStr">
        <is>
          <t>그 밖의 이자소득에 대해서는 100분의 14</t>
        </is>
      </c>
      <c r="G7" s="28" t="inlineStr">
        <is>
          <t>현행(2026.4.21 시행판)</t>
        </is>
      </c>
      <c r="H7" s="28" t="inlineStr">
        <is>
          <t>확인함</t>
        </is>
      </c>
    </row>
    <row r="8">
      <c r="B8" s="25" t="inlineStr">
        <is>
          <t>원천징수세율 · 배당</t>
        </is>
      </c>
      <c r="C8" s="29" t="n">
        <v>0.14</v>
      </c>
      <c r="D8" s="27" t="inlineStr"/>
      <c r="E8" s="25" t="inlineStr">
        <is>
          <t>소득세법 제129조제1항제2호나목</t>
        </is>
      </c>
      <c r="F8" s="28" t="inlineStr">
        <is>
          <t>그 밖의 배당소득에 대해서는 100분의 14</t>
        </is>
      </c>
      <c r="G8" s="28" t="inlineStr">
        <is>
          <t>현행(2026.4.21 시행판)</t>
        </is>
      </c>
      <c r="H8" s="28" t="inlineStr">
        <is>
          <t>확인함</t>
        </is>
      </c>
    </row>
    <row r="9">
      <c r="B9" s="25" t="inlineStr">
        <is>
          <t>배당가산율(Gross-up)</t>
        </is>
      </c>
      <c r="C9" s="29" t="n">
        <v>0.1</v>
      </c>
      <c r="D9" s="27" t="inlineStr"/>
      <c r="E9" s="25" t="inlineStr">
        <is>
          <t>소득세법 제17조제3항, 부칙(법률 제21221호, 2025.12.23) 제14조</t>
        </is>
      </c>
      <c r="F9" s="28" t="inlineStr">
        <is>
          <t>해당 과세기간의 총수입금액에 그 배당소득의 100분의 10에 해당하는 금액을 더한 금액 / 2026년 12월 31일 이전에 지급받은 배당소득의 소득금액 계산에 관하여는 … 종전의 규정에 따른다</t>
        </is>
      </c>
      <c r="G9" s="28" t="inlineStr">
        <is>
          <t>2026년 12월 31일까지 받는 배당. 2027.1.1부터 100분의 11(같은 부칙 제1조제2호) — 2027년 배당이면 이 칸을 11%로 바꾼다</t>
        </is>
      </c>
      <c r="H9" s="28" t="inlineStr">
        <is>
          <t>확인함</t>
        </is>
      </c>
    </row>
    <row r="10">
      <c r="B10" s="25" t="inlineStr">
        <is>
          <t>종합소득공제(본인 기본공제만)</t>
        </is>
      </c>
      <c r="C10" s="26" t="n">
        <v>1500000</v>
      </c>
      <c r="D10" s="27" t="inlineStr">
        <is>
          <t>원</t>
        </is>
      </c>
      <c r="E10" s="25" t="inlineStr">
        <is>
          <t>소득세법 제50조제1항제1호</t>
        </is>
      </c>
      <c r="F10" s="28" t="inlineStr">
        <is>
          <t>1명당 연 150만원을 곱하여 계산한 금액을 그 거주자의 해당 과세기간의 종합소득금액에서 공제한다</t>
        </is>
      </c>
      <c r="G10" s="28" t="inlineStr">
        <is>
          <t>현행. 배우자·부양가족 공제나 다른 소득공제가 있으면 이 칸을 그 합계로 바꾼다</t>
        </is>
      </c>
      <c r="H10" s="28" t="inlineStr">
        <is>
          <t>확인함</t>
        </is>
      </c>
    </row>
    <row r="11">
      <c r="B11" s="25" t="inlineStr">
        <is>
          <t>건강보험료율</t>
        </is>
      </c>
      <c r="C11" s="30" t="n">
        <v>0.07190000000000001</v>
      </c>
      <c r="D11" s="27" t="inlineStr"/>
      <c r="E11" s="25" t="inlineStr">
        <is>
          <t>국민건강보험법 시행령 제44조제1항</t>
        </is>
      </c>
      <c r="F11" s="28" t="inlineStr">
        <is>
          <t>지역가입자의 보험료율은 각각 1만분의 719로 한다</t>
        </is>
      </c>
      <c r="G11" s="28" t="inlineStr">
        <is>
          <t>2026년 1월분 보험료부터(시행령 부칙 2025.12.23 제2조). 2027년도 7.19% 유지 심의(정책브리핑 2026.9.8 제15차 건정심 브리핑)</t>
        </is>
      </c>
      <c r="H11" s="28" t="inlineStr">
        <is>
          <t>확인함</t>
        </is>
      </c>
    </row>
    <row r="12">
      <c r="B12" s="25" t="inlineStr">
        <is>
          <t>재산보험료 부과점수당 금액</t>
        </is>
      </c>
      <c r="C12" s="31" t="n">
        <v>211.5</v>
      </c>
      <c r="D12" s="27" t="inlineStr">
        <is>
          <t>원</t>
        </is>
      </c>
      <c r="E12" s="25" t="inlineStr">
        <is>
          <t>국민건강보험법 시행령 제44조제2항</t>
        </is>
      </c>
      <c r="F12" s="28" t="inlineStr">
        <is>
          <t>지역가입자의 재산보험료부과점수당 금액은 211.5원으로 한다</t>
        </is>
      </c>
      <c r="G12" s="28" t="inlineStr">
        <is>
          <t>2026년 1월분 보험료부터(같은 부칙 제2조). 2027년 값은 확인 안 함</t>
        </is>
      </c>
      <c r="H12" s="28" t="inlineStr">
        <is>
          <t>확인함</t>
        </is>
      </c>
    </row>
    <row r="13">
      <c r="B13" s="25" t="inlineStr">
        <is>
          <t>장기요양보험료율</t>
        </is>
      </c>
      <c r="C13" s="32" t="n">
        <v>0.009448</v>
      </c>
      <c r="D13" s="27" t="inlineStr"/>
      <c r="E13" s="25" t="inlineStr">
        <is>
          <t>노인장기요양보험법 시행령 제4조</t>
        </is>
      </c>
      <c r="F13" s="28" t="inlineStr">
        <is>
          <t>장기요양보험료율은 100만분의 9,448로 한다</t>
        </is>
      </c>
      <c r="G13" s="28" t="inlineStr">
        <is>
          <t>2026.5.12판 기준</t>
        </is>
      </c>
      <c r="H13" s="28" t="inlineStr">
        <is>
          <t>확인함</t>
        </is>
      </c>
    </row>
    <row r="14">
      <c r="B14" s="25" t="inlineStr">
        <is>
          <t>장기요양보험료 = 건보료 × 이 비율</t>
        </is>
      </c>
      <c r="C14" s="33">
        <f>ROUND(기준값!$C$13/기준값!$C$11,4)</f>
        <v/>
      </c>
      <c r="D14" s="27" t="inlineStr"/>
      <c r="E14" s="25" t="inlineStr">
        <is>
          <t>노인장기요양보험법 제9조제1항</t>
        </is>
      </c>
      <c r="F14" s="28" t="inlineStr">
        <is>
          <t>산정한 보험료액에서 … 건강보험료율 대비 장기요양보험료율의 비율(소수점 이하 다섯째자리에서 반올림한다)을 곱하여 산정한 금액 / 보건복지부 보도자료(2025.11.4): "2026년도 건강보험료 대비 장기요양보험료율은 13.14%"</t>
        </is>
      </c>
      <c r="G14" s="28" t="inlineStr">
        <is>
          <t>2026.5.26판</t>
        </is>
      </c>
      <c r="H14" s="28" t="inlineStr">
        <is>
          <t>확인함</t>
        </is>
      </c>
    </row>
    <row r="15">
      <c r="B15" s="25" t="inlineStr">
        <is>
          <t>건보 금융소득 문턱</t>
        </is>
      </c>
      <c r="C15" s="26" t="n">
        <v>10000000</v>
      </c>
      <c r="D15" s="27" t="inlineStr">
        <is>
          <t>원</t>
        </is>
      </c>
      <c r="E15" s="25" t="inlineStr">
        <is>
          <t>국민건강보험법 시행규칙 제44조제1항 단서</t>
        </is>
      </c>
      <c r="F15" s="28" t="inlineStr">
        <is>
          <t>「소득세법」 제14조제3항제6호에 따른 소득이 1천만원 이하인 경우에는 해당 이자소득과 배당소득은 합산하지 않는다</t>
        </is>
      </c>
      <c r="G15" s="28" t="inlineStr">
        <is>
          <t>2026.9.28 시행판</t>
        </is>
      </c>
      <c r="H15" s="28" t="inlineStr">
        <is>
          <t>확인함</t>
        </is>
      </c>
    </row>
    <row r="16">
      <c r="B16" s="25" t="inlineStr">
        <is>
          <t>지역가입자 근로·연금소득 반영률</t>
        </is>
      </c>
      <c r="C16" s="29" t="n">
        <v>0.5</v>
      </c>
      <c r="D16" s="27" t="inlineStr"/>
      <c r="E16" s="25" t="inlineStr">
        <is>
          <t>국민건강보험법 시행규칙 제44조제2항제2호·제3항</t>
        </is>
      </c>
      <c r="F16" s="28" t="inlineStr">
        <is>
          <t>영 제41조제1항제4호 및 제5호의 소득: 해당 소득의 100분의 50 / 지역가입자의 소득월액 산정방법에 관하여는 제2항 전단을 준용한다</t>
        </is>
      </c>
      <c r="G16" s="28" t="inlineStr">
        <is>
          <t>2026.9.28 시행판</t>
        </is>
      </c>
      <c r="H16" s="28" t="inlineStr">
        <is>
          <t>확인함</t>
        </is>
      </c>
    </row>
    <row r="17">
      <c r="B17" s="25" t="inlineStr">
        <is>
          <t>소득월액 하한 기준</t>
        </is>
      </c>
      <c r="C17" s="26" t="n">
        <v>280000</v>
      </c>
      <c r="D17" s="27" t="inlineStr">
        <is>
          <t>원</t>
        </is>
      </c>
      <c r="E17" s="25" t="inlineStr">
        <is>
          <t>국민건강보험법 시행규칙 제44조제3항 단서</t>
        </is>
      </c>
      <c r="F17" s="28" t="inlineStr">
        <is>
          <t>지역가입자의 소득월액이 28만원 이하인 경우에는 … 월별 보험료액의 하한액을 … 보험료율로 나누어 얻은 값을 해당 지역가입자의 소득월액으로 한다</t>
        </is>
      </c>
      <c r="G17" s="28" t="inlineStr">
        <is>
          <t>2026.9.28 시행판</t>
        </is>
      </c>
      <c r="H17" s="28" t="inlineStr">
        <is>
          <t>확인함</t>
        </is>
      </c>
    </row>
    <row r="18">
      <c r="B18" s="25" t="inlineStr">
        <is>
          <t>지역가입자 월별 보험료 하한</t>
        </is>
      </c>
      <c r="C18" s="26" t="n">
        <v>20160</v>
      </c>
      <c r="D18" s="27" t="inlineStr">
        <is>
          <t>원</t>
        </is>
      </c>
      <c r="E18" s="25" t="inlineStr">
        <is>
          <t>월별 건강보험료액의 상한과 하한에 관한 고시(보건복지부고시 제2025-222호) 제3조제2호</t>
        </is>
      </c>
      <c r="F18" s="28" t="inlineStr">
        <is>
          <t>지역가입자의 월별 보험료액 : 20,160원</t>
        </is>
      </c>
      <c r="G18" s="28" t="inlineStr">
        <is>
          <t>2026년 1월분 보험료부터(고시 부칙)</t>
        </is>
      </c>
      <c r="H18" s="28" t="inlineStr">
        <is>
          <t>확인함</t>
        </is>
      </c>
    </row>
    <row r="19">
      <c r="B19" s="25" t="inlineStr">
        <is>
          <t>지역가입자 월별 보험료 상한</t>
        </is>
      </c>
      <c r="C19" s="26" t="n">
        <v>4591740</v>
      </c>
      <c r="D19" s="27" t="inlineStr">
        <is>
          <t>원</t>
        </is>
      </c>
      <c r="E19" s="25" t="inlineStr">
        <is>
          <t>같은 고시 제2조제2호</t>
        </is>
      </c>
      <c r="F19" s="28" t="inlineStr">
        <is>
          <t>직장가입자의 소득월액 보험료 및 지역가입자의 월별 보험료액 : 4,591,740원</t>
        </is>
      </c>
      <c r="G19" s="28" t="inlineStr">
        <is>
          <t>2026년 1월분 보험료부터(고시 부칙)</t>
        </is>
      </c>
      <c r="H19" s="28" t="inlineStr">
        <is>
          <t>확인함</t>
        </is>
      </c>
    </row>
    <row r="20">
      <c r="B20" s="25" t="inlineStr">
        <is>
          <t>재산 공제</t>
        </is>
      </c>
      <c r="C20" s="26" t="n">
        <v>100000000</v>
      </c>
      <c r="D20" s="27" t="inlineStr">
        <is>
          <t>원</t>
        </is>
      </c>
      <c r="E20" s="25" t="inlineStr">
        <is>
          <t>국민건강보험법 시행령 별표 4 제1호</t>
        </is>
      </c>
      <c r="F20" s="28" t="inlineStr">
        <is>
          <t>다음 각 목의 금액을 합산한 금액에서 1억원 및 제42조의2제3항 각 호의 구분에 따른 금액을 뺀 금액을 등급별로 구분하여 산정한다</t>
        </is>
      </c>
      <c r="G20" s="28" t="inlineStr">
        <is>
          <t>2026.10.1 시행판</t>
        </is>
      </c>
      <c r="H20" s="28" t="inlineStr">
        <is>
          <t>확인함</t>
        </is>
      </c>
    </row>
    <row r="21">
      <c r="B21" s="25" t="inlineStr">
        <is>
          <t>피부양자 소득 한도</t>
        </is>
      </c>
      <c r="C21" s="26" t="n">
        <v>20000000</v>
      </c>
      <c r="D21" s="27" t="inlineStr">
        <is>
          <t>원</t>
        </is>
      </c>
      <c r="E21" s="25" t="inlineStr">
        <is>
          <t>국민건강보험법 시행규칙 별표 1의2 제1호가목</t>
        </is>
      </c>
      <c r="F21" s="28" t="inlineStr">
        <is>
          <t>영 제41조제1항 각 호의 소득을 같은 조 제3항의 소득자료에 따라 산정한 합계액이 연간 2천만원 이하일 것</t>
        </is>
      </c>
      <c r="G21" s="28" t="inlineStr">
        <is>
          <t>2026.9.28 시행판</t>
        </is>
      </c>
      <c r="H21" s="28" t="inlineStr">
        <is>
          <t>확인함</t>
        </is>
      </c>
    </row>
    <row r="22">
      <c r="B22" s="25" t="inlineStr">
        <is>
          <t>피부양자 재산 기준 1</t>
        </is>
      </c>
      <c r="C22" s="26" t="n">
        <v>540000000</v>
      </c>
      <c r="D22" s="27" t="inlineStr">
        <is>
          <t>원</t>
        </is>
      </c>
      <c r="E22" s="25" t="inlineStr">
        <is>
          <t>같은 별표 제2호가목2)</t>
        </is>
      </c>
      <c r="F22" s="28" t="inlineStr">
        <is>
          <t>재산세 과세표준의 합이 5억4천만원 이하일 것</t>
        </is>
      </c>
      <c r="G22" s="28" t="inlineStr">
        <is>
          <t>2026.9.28 시행판</t>
        </is>
      </c>
      <c r="H22" s="28" t="inlineStr">
        <is>
          <t>확인함</t>
        </is>
      </c>
    </row>
    <row r="23">
      <c r="B23" s="25" t="inlineStr">
        <is>
          <t>피부양자 재산 기준 2</t>
        </is>
      </c>
      <c r="C23" s="26" t="n">
        <v>900000000</v>
      </c>
      <c r="D23" s="27" t="inlineStr">
        <is>
          <t>원</t>
        </is>
      </c>
      <c r="E23" s="25" t="inlineStr">
        <is>
          <t>같은 별표 제2호가목1)</t>
        </is>
      </c>
      <c r="F23" s="28" t="inlineStr">
        <is>
          <t>재산세 과세표준의 합이 5억 4천만원을 초과하면서 9억원 이하이고, 영 제41조제1항 각 호에 따른 소득의 합계액이 연간 1천만원 이하일 것</t>
        </is>
      </c>
      <c r="G23" s="28" t="inlineStr">
        <is>
          <t>2026.9.28 시행판</t>
        </is>
      </c>
      <c r="H23" s="28" t="inlineStr">
        <is>
          <t>확인함</t>
        </is>
      </c>
    </row>
    <row r="24">
      <c r="B24" s="25" t="inlineStr">
        <is>
          <t>재산 5.4억~9억일 때 소득 한도</t>
        </is>
      </c>
      <c r="C24" s="26" t="n">
        <v>10000000</v>
      </c>
      <c r="D24" s="27" t="inlineStr">
        <is>
          <t>원</t>
        </is>
      </c>
      <c r="E24" s="25" t="inlineStr">
        <is>
          <t>같은 별표 제2호가목1)</t>
        </is>
      </c>
      <c r="F24" s="28" t="inlineStr">
        <is>
          <t>(위 문장) 소득의 합계액이 연간 1천만원 이하일 것</t>
        </is>
      </c>
      <c r="G24" s="28" t="inlineStr">
        <is>
          <t>2026.9.28 시행판</t>
        </is>
      </c>
      <c r="H24" s="28" t="inlineStr">
        <is>
          <t>확인함</t>
        </is>
      </c>
    </row>
    <row r="26">
      <c r="B26" s="7" t="inlineStr">
        <is>
          <t>종합소득세 기본세율 — 소득세법 제55조제1항(현행, 2026.4.21 시행판)</t>
        </is>
      </c>
    </row>
    <row r="27">
      <c r="B27" s="24" t="inlineStr">
        <is>
          <t>과세표준 초과</t>
        </is>
      </c>
      <c r="C27" s="24" t="inlineStr">
        <is>
          <t>기본 세액</t>
        </is>
      </c>
      <c r="D27" s="24" t="inlineStr"/>
      <c r="E27" s="24" t="inlineStr">
        <is>
          <t>초과분 세율</t>
        </is>
      </c>
    </row>
    <row r="28">
      <c r="B28" s="34" t="n">
        <v>0</v>
      </c>
      <c r="C28" s="34" t="n">
        <v>0</v>
      </c>
      <c r="E28" s="35" t="n">
        <v>0.06</v>
      </c>
    </row>
    <row r="29">
      <c r="B29" s="34" t="n">
        <v>14000000</v>
      </c>
      <c r="C29" s="34" t="n">
        <v>840000</v>
      </c>
      <c r="E29" s="35" t="n">
        <v>0.15</v>
      </c>
    </row>
    <row r="30">
      <c r="B30" s="34" t="n">
        <v>50000000</v>
      </c>
      <c r="C30" s="34" t="n">
        <v>6240000</v>
      </c>
      <c r="E30" s="35" t="n">
        <v>0.24</v>
      </c>
    </row>
    <row r="31">
      <c r="B31" s="34" t="n">
        <v>88000000</v>
      </c>
      <c r="C31" s="34" t="n">
        <v>15360000</v>
      </c>
      <c r="E31" s="35" t="n">
        <v>0.35</v>
      </c>
    </row>
    <row r="32">
      <c r="B32" s="34" t="n">
        <v>150000000</v>
      </c>
      <c r="C32" s="34" t="n">
        <v>37060000</v>
      </c>
      <c r="E32" s="35" t="n">
        <v>0.38</v>
      </c>
    </row>
    <row r="33">
      <c r="B33" s="34" t="n">
        <v>300000000</v>
      </c>
      <c r="C33" s="34" t="n">
        <v>94060000</v>
      </c>
      <c r="E33" s="35" t="n">
        <v>0.4</v>
      </c>
    </row>
    <row r="34">
      <c r="B34" s="34" t="n">
        <v>500000000</v>
      </c>
      <c r="C34" s="34" t="n">
        <v>174060000</v>
      </c>
      <c r="E34" s="35" t="n">
        <v>0.42</v>
      </c>
    </row>
    <row r="35">
      <c r="B35" s="34" t="n">
        <v>1000000000</v>
      </c>
      <c r="C35" s="34" t="n">
        <v>384060000</v>
      </c>
      <c r="E35" s="35" t="n">
        <v>0.45</v>
      </c>
    </row>
    <row r="36">
      <c r="B36" s="8" t="inlineStr">
        <is>
          <t>원문 표: 1,400만원 이하 6% / 84만원+1,400만원 초과분 15% / 624만원+5,000만원 초과분 24% / 1,536만원+8,800만원 초과분 35% / 3,706만원+1억5천만원 초과분 38% / 9,406만원+3억원 초과분 40% / 1억7,406만원+5억원 초과분 42% / 3억8,406만원+10억원 초과분 45%</t>
        </is>
      </c>
    </row>
    <row r="38">
      <c r="B38" s="7" t="inlineStr">
        <is>
          <t>재산등급별 점수 — 국민건강보험법 시행령 별표 4 제3호(2026.10.1 시행판), 재산금액은 1억원을 뺀 뒤 금액</t>
        </is>
      </c>
    </row>
    <row r="39">
      <c r="B39" s="24" t="inlineStr">
        <is>
          <t>등급</t>
        </is>
      </c>
      <c r="C39" s="24" t="inlineStr">
        <is>
          <t>초과(원)</t>
        </is>
      </c>
      <c r="D39" s="24" t="inlineStr"/>
      <c r="E39" s="24" t="inlineStr">
        <is>
          <t>이하(원)</t>
        </is>
      </c>
      <c r="F39" s="24" t="inlineStr">
        <is>
          <t>점수</t>
        </is>
      </c>
    </row>
    <row r="40">
      <c r="B40" s="36" t="n">
        <v>1</v>
      </c>
      <c r="C40" s="37" t="n">
        <v>0</v>
      </c>
      <c r="E40" s="37" t="n">
        <v>4500000</v>
      </c>
      <c r="F40" s="37" t="n">
        <v>22</v>
      </c>
    </row>
    <row r="41">
      <c r="B41" s="36" t="n">
        <v>2</v>
      </c>
      <c r="C41" s="37" t="n">
        <v>4500000</v>
      </c>
      <c r="E41" s="37" t="n">
        <v>9000000</v>
      </c>
      <c r="F41" s="37" t="n">
        <v>44</v>
      </c>
    </row>
    <row r="42">
      <c r="B42" s="36" t="n">
        <v>3</v>
      </c>
      <c r="C42" s="37" t="n">
        <v>9000000</v>
      </c>
      <c r="E42" s="37" t="n">
        <v>13500000</v>
      </c>
      <c r="F42" s="37" t="n">
        <v>66</v>
      </c>
    </row>
    <row r="43">
      <c r="B43" s="36" t="n">
        <v>4</v>
      </c>
      <c r="C43" s="37" t="n">
        <v>13500000</v>
      </c>
      <c r="E43" s="37" t="n">
        <v>18000000</v>
      </c>
      <c r="F43" s="37" t="n">
        <v>97</v>
      </c>
    </row>
    <row r="44">
      <c r="B44" s="36" t="n">
        <v>5</v>
      </c>
      <c r="C44" s="37" t="n">
        <v>18000000</v>
      </c>
      <c r="E44" s="37" t="n">
        <v>22500000</v>
      </c>
      <c r="F44" s="37" t="n">
        <v>122</v>
      </c>
    </row>
    <row r="45">
      <c r="B45" s="36" t="n">
        <v>6</v>
      </c>
      <c r="C45" s="37" t="n">
        <v>22500000</v>
      </c>
      <c r="E45" s="37" t="n">
        <v>27000000</v>
      </c>
      <c r="F45" s="37" t="n">
        <v>146</v>
      </c>
    </row>
    <row r="46">
      <c r="B46" s="36" t="n">
        <v>7</v>
      </c>
      <c r="C46" s="37" t="n">
        <v>27000000</v>
      </c>
      <c r="E46" s="37" t="n">
        <v>31500000</v>
      </c>
      <c r="F46" s="37" t="n">
        <v>171</v>
      </c>
    </row>
    <row r="47">
      <c r="B47" s="36" t="n">
        <v>8</v>
      </c>
      <c r="C47" s="37" t="n">
        <v>31500000</v>
      </c>
      <c r="E47" s="37" t="n">
        <v>36000000</v>
      </c>
      <c r="F47" s="37" t="n">
        <v>195</v>
      </c>
    </row>
    <row r="48">
      <c r="B48" s="36" t="n">
        <v>9</v>
      </c>
      <c r="C48" s="37" t="n">
        <v>36000000</v>
      </c>
      <c r="E48" s="37" t="n">
        <v>40500000</v>
      </c>
      <c r="F48" s="37" t="n">
        <v>219</v>
      </c>
    </row>
    <row r="49">
      <c r="B49" s="36" t="n">
        <v>10</v>
      </c>
      <c r="C49" s="37" t="n">
        <v>40500000</v>
      </c>
      <c r="E49" s="37" t="n">
        <v>45000000</v>
      </c>
      <c r="F49" s="37" t="n">
        <v>244</v>
      </c>
    </row>
    <row r="50">
      <c r="B50" s="36" t="n">
        <v>11</v>
      </c>
      <c r="C50" s="37" t="n">
        <v>45000000</v>
      </c>
      <c r="E50" s="37" t="n">
        <v>50200000</v>
      </c>
      <c r="F50" s="37" t="n">
        <v>268</v>
      </c>
    </row>
    <row r="51">
      <c r="B51" s="36" t="n">
        <v>12</v>
      </c>
      <c r="C51" s="37" t="n">
        <v>50200000</v>
      </c>
      <c r="E51" s="37" t="n">
        <v>55900000</v>
      </c>
      <c r="F51" s="37" t="n">
        <v>294</v>
      </c>
    </row>
    <row r="52">
      <c r="B52" s="36" t="n">
        <v>13</v>
      </c>
      <c r="C52" s="37" t="n">
        <v>55900000</v>
      </c>
      <c r="E52" s="37" t="n">
        <v>62200000</v>
      </c>
      <c r="F52" s="37" t="n">
        <v>320</v>
      </c>
    </row>
    <row r="53">
      <c r="B53" s="36" t="n">
        <v>14</v>
      </c>
      <c r="C53" s="37" t="n">
        <v>62200000</v>
      </c>
      <c r="E53" s="37" t="n">
        <v>69300000</v>
      </c>
      <c r="F53" s="37" t="n">
        <v>344</v>
      </c>
    </row>
    <row r="54">
      <c r="B54" s="36" t="n">
        <v>15</v>
      </c>
      <c r="C54" s="37" t="n">
        <v>69300000</v>
      </c>
      <c r="E54" s="37" t="n">
        <v>77100000</v>
      </c>
      <c r="F54" s="37" t="n">
        <v>365</v>
      </c>
    </row>
    <row r="55">
      <c r="B55" s="36" t="n">
        <v>16</v>
      </c>
      <c r="C55" s="37" t="n">
        <v>77100000</v>
      </c>
      <c r="E55" s="37" t="n">
        <v>85900000</v>
      </c>
      <c r="F55" s="37" t="n">
        <v>386</v>
      </c>
    </row>
    <row r="56">
      <c r="B56" s="36" t="n">
        <v>17</v>
      </c>
      <c r="C56" s="37" t="n">
        <v>85900000</v>
      </c>
      <c r="E56" s="37" t="n">
        <v>95700000</v>
      </c>
      <c r="F56" s="37" t="n">
        <v>412</v>
      </c>
    </row>
    <row r="57">
      <c r="B57" s="36" t="n">
        <v>18</v>
      </c>
      <c r="C57" s="37" t="n">
        <v>95700000</v>
      </c>
      <c r="E57" s="37" t="n">
        <v>107000000</v>
      </c>
      <c r="F57" s="37" t="n">
        <v>439</v>
      </c>
    </row>
    <row r="58">
      <c r="B58" s="36" t="n">
        <v>19</v>
      </c>
      <c r="C58" s="37" t="n">
        <v>107000000</v>
      </c>
      <c r="E58" s="37" t="n">
        <v>119000000</v>
      </c>
      <c r="F58" s="37" t="n">
        <v>465</v>
      </c>
    </row>
    <row r="59">
      <c r="B59" s="36" t="n">
        <v>20</v>
      </c>
      <c r="C59" s="37" t="n">
        <v>119000000</v>
      </c>
      <c r="E59" s="37" t="n">
        <v>133000000</v>
      </c>
      <c r="F59" s="37" t="n">
        <v>490</v>
      </c>
    </row>
    <row r="60">
      <c r="B60" s="36" t="n">
        <v>21</v>
      </c>
      <c r="C60" s="37" t="n">
        <v>133000000</v>
      </c>
      <c r="E60" s="37" t="n">
        <v>148000000</v>
      </c>
      <c r="F60" s="37" t="n">
        <v>516</v>
      </c>
    </row>
    <row r="61">
      <c r="B61" s="36" t="n">
        <v>22</v>
      </c>
      <c r="C61" s="37" t="n">
        <v>148000000</v>
      </c>
      <c r="E61" s="37" t="n">
        <v>164000000</v>
      </c>
      <c r="F61" s="37" t="n">
        <v>535</v>
      </c>
    </row>
    <row r="62">
      <c r="B62" s="36" t="n">
        <v>23</v>
      </c>
      <c r="C62" s="37" t="n">
        <v>164000000</v>
      </c>
      <c r="E62" s="37" t="n">
        <v>183000000</v>
      </c>
      <c r="F62" s="37" t="n">
        <v>559</v>
      </c>
    </row>
    <row r="63">
      <c r="B63" s="36" t="n">
        <v>24</v>
      </c>
      <c r="C63" s="37" t="n">
        <v>183000000</v>
      </c>
      <c r="E63" s="37" t="n">
        <v>204000000</v>
      </c>
      <c r="F63" s="37" t="n">
        <v>586</v>
      </c>
    </row>
    <row r="64">
      <c r="B64" s="36" t="n">
        <v>25</v>
      </c>
      <c r="C64" s="37" t="n">
        <v>204000000</v>
      </c>
      <c r="E64" s="37" t="n">
        <v>227000000</v>
      </c>
      <c r="F64" s="37" t="n">
        <v>611</v>
      </c>
    </row>
    <row r="65">
      <c r="B65" s="36" t="n">
        <v>26</v>
      </c>
      <c r="C65" s="37" t="n">
        <v>227000000</v>
      </c>
      <c r="E65" s="37" t="n">
        <v>253000000</v>
      </c>
      <c r="F65" s="37" t="n">
        <v>637</v>
      </c>
    </row>
    <row r="66">
      <c r="B66" s="36" t="n">
        <v>27</v>
      </c>
      <c r="C66" s="37" t="n">
        <v>253000000</v>
      </c>
      <c r="E66" s="37" t="n">
        <v>281000000</v>
      </c>
      <c r="F66" s="37" t="n">
        <v>659</v>
      </c>
    </row>
    <row r="67">
      <c r="B67" s="36" t="n">
        <v>28</v>
      </c>
      <c r="C67" s="37" t="n">
        <v>281000000</v>
      </c>
      <c r="E67" s="37" t="n">
        <v>313000000</v>
      </c>
      <c r="F67" s="37" t="n">
        <v>681</v>
      </c>
    </row>
    <row r="68">
      <c r="B68" s="36" t="n">
        <v>29</v>
      </c>
      <c r="C68" s="37" t="n">
        <v>313000000</v>
      </c>
      <c r="E68" s="37" t="n">
        <v>349000000</v>
      </c>
      <c r="F68" s="37" t="n">
        <v>706</v>
      </c>
    </row>
    <row r="69">
      <c r="B69" s="36" t="n">
        <v>30</v>
      </c>
      <c r="C69" s="37" t="n">
        <v>349000000</v>
      </c>
      <c r="E69" s="37" t="n">
        <v>388000000</v>
      </c>
      <c r="F69" s="37" t="n">
        <v>731</v>
      </c>
    </row>
    <row r="70">
      <c r="B70" s="36" t="n">
        <v>31</v>
      </c>
      <c r="C70" s="37" t="n">
        <v>388000000</v>
      </c>
      <c r="E70" s="37" t="n">
        <v>432000000</v>
      </c>
      <c r="F70" s="37" t="n">
        <v>757</v>
      </c>
    </row>
    <row r="71">
      <c r="B71" s="36" t="n">
        <v>32</v>
      </c>
      <c r="C71" s="37" t="n">
        <v>432000000</v>
      </c>
      <c r="E71" s="37" t="n">
        <v>481000000</v>
      </c>
      <c r="F71" s="37" t="n">
        <v>785</v>
      </c>
    </row>
    <row r="72">
      <c r="B72" s="36" t="n">
        <v>33</v>
      </c>
      <c r="C72" s="37" t="n">
        <v>481000000</v>
      </c>
      <c r="E72" s="37" t="n">
        <v>536000000</v>
      </c>
      <c r="F72" s="37" t="n">
        <v>812</v>
      </c>
    </row>
    <row r="73">
      <c r="B73" s="36" t="n">
        <v>34</v>
      </c>
      <c r="C73" s="37" t="n">
        <v>536000000</v>
      </c>
      <c r="E73" s="37" t="n">
        <v>597000000</v>
      </c>
      <c r="F73" s="37" t="n">
        <v>841</v>
      </c>
    </row>
    <row r="74">
      <c r="B74" s="36" t="n">
        <v>35</v>
      </c>
      <c r="C74" s="37" t="n">
        <v>597000000</v>
      </c>
      <c r="E74" s="37" t="n">
        <v>665000000</v>
      </c>
      <c r="F74" s="37" t="n">
        <v>881</v>
      </c>
    </row>
    <row r="75">
      <c r="B75" s="36" t="n">
        <v>36</v>
      </c>
      <c r="C75" s="37" t="n">
        <v>665000000</v>
      </c>
      <c r="E75" s="37" t="n">
        <v>740000000</v>
      </c>
      <c r="F75" s="37" t="n">
        <v>921</v>
      </c>
    </row>
    <row r="76">
      <c r="B76" s="36" t="n">
        <v>37</v>
      </c>
      <c r="C76" s="37" t="n">
        <v>740000000</v>
      </c>
      <c r="E76" s="37" t="n">
        <v>824000000</v>
      </c>
      <c r="F76" s="37" t="n">
        <v>961</v>
      </c>
    </row>
    <row r="77">
      <c r="B77" s="36" t="n">
        <v>38</v>
      </c>
      <c r="C77" s="37" t="n">
        <v>824000000</v>
      </c>
      <c r="E77" s="37" t="n">
        <v>918000000</v>
      </c>
      <c r="F77" s="37" t="n">
        <v>1001</v>
      </c>
    </row>
    <row r="78">
      <c r="B78" s="36" t="n">
        <v>39</v>
      </c>
      <c r="C78" s="37" t="n">
        <v>918000000</v>
      </c>
      <c r="E78" s="37" t="n">
        <v>1030000000</v>
      </c>
      <c r="F78" s="37" t="n">
        <v>1041</v>
      </c>
    </row>
    <row r="79">
      <c r="B79" s="36" t="n">
        <v>40</v>
      </c>
      <c r="C79" s="37" t="n">
        <v>1030000000</v>
      </c>
      <c r="E79" s="37" t="n">
        <v>1140000000</v>
      </c>
      <c r="F79" s="37" t="n">
        <v>1091</v>
      </c>
    </row>
    <row r="80">
      <c r="B80" s="36" t="n">
        <v>41</v>
      </c>
      <c r="C80" s="37" t="n">
        <v>1140000000</v>
      </c>
      <c r="E80" s="37" t="n">
        <v>1270000000</v>
      </c>
      <c r="F80" s="37" t="n">
        <v>1141</v>
      </c>
    </row>
    <row r="81">
      <c r="B81" s="36" t="n">
        <v>42</v>
      </c>
      <c r="C81" s="37" t="n">
        <v>1270000000</v>
      </c>
      <c r="E81" s="37" t="n">
        <v>1420000000</v>
      </c>
      <c r="F81" s="37" t="n">
        <v>1191</v>
      </c>
    </row>
    <row r="82">
      <c r="B82" s="36" t="n">
        <v>43</v>
      </c>
      <c r="C82" s="37" t="n">
        <v>1420000000</v>
      </c>
      <c r="E82" s="37" t="n">
        <v>1580000000</v>
      </c>
      <c r="F82" s="37" t="n">
        <v>1241</v>
      </c>
    </row>
    <row r="83">
      <c r="B83" s="36" t="n">
        <v>44</v>
      </c>
      <c r="C83" s="37" t="n">
        <v>1580000000</v>
      </c>
      <c r="E83" s="37" t="n">
        <v>1760000000</v>
      </c>
      <c r="F83" s="37" t="n">
        <v>1291</v>
      </c>
    </row>
    <row r="84">
      <c r="B84" s="36" t="n">
        <v>45</v>
      </c>
      <c r="C84" s="37" t="n">
        <v>1760000000</v>
      </c>
      <c r="E84" s="37" t="n">
        <v>1960000000</v>
      </c>
      <c r="F84" s="37" t="n">
        <v>1341</v>
      </c>
    </row>
    <row r="85">
      <c r="B85" s="36" t="n">
        <v>46</v>
      </c>
      <c r="C85" s="37" t="n">
        <v>1960000000</v>
      </c>
      <c r="E85" s="37" t="n">
        <v>2180000000</v>
      </c>
      <c r="F85" s="37" t="n">
        <v>1391</v>
      </c>
    </row>
    <row r="86">
      <c r="B86" s="36" t="n">
        <v>47</v>
      </c>
      <c r="C86" s="37" t="n">
        <v>2180000000</v>
      </c>
      <c r="E86" s="37" t="n">
        <v>2420000000</v>
      </c>
      <c r="F86" s="37" t="n">
        <v>1451</v>
      </c>
    </row>
    <row r="87">
      <c r="B87" s="36" t="n">
        <v>48</v>
      </c>
      <c r="C87" s="37" t="n">
        <v>2420000000</v>
      </c>
      <c r="E87" s="37" t="n">
        <v>2700000000</v>
      </c>
      <c r="F87" s="37" t="n">
        <v>1511</v>
      </c>
    </row>
    <row r="88">
      <c r="B88" s="36" t="n">
        <v>49</v>
      </c>
      <c r="C88" s="37" t="n">
        <v>2700000000</v>
      </c>
      <c r="E88" s="37" t="n">
        <v>3000000000</v>
      </c>
      <c r="F88" s="37" t="n">
        <v>1571</v>
      </c>
    </row>
    <row r="89">
      <c r="B89" s="36" t="n">
        <v>50</v>
      </c>
      <c r="C89" s="37" t="n">
        <v>3000000000</v>
      </c>
      <c r="E89" s="37" t="n">
        <v>3300000000</v>
      </c>
      <c r="F89" s="37" t="n">
        <v>1641</v>
      </c>
    </row>
    <row r="90">
      <c r="B90" s="36" t="n">
        <v>51</v>
      </c>
      <c r="C90" s="37" t="n">
        <v>3300000000</v>
      </c>
      <c r="E90" s="37" t="n">
        <v>3630000000</v>
      </c>
      <c r="F90" s="37" t="n">
        <v>1711</v>
      </c>
    </row>
    <row r="91">
      <c r="B91" s="36" t="n">
        <v>52</v>
      </c>
      <c r="C91" s="37" t="n">
        <v>3630000000</v>
      </c>
      <c r="E91" s="37" t="n">
        <v>3993000000</v>
      </c>
      <c r="F91" s="37" t="n">
        <v>1781</v>
      </c>
    </row>
    <row r="92">
      <c r="B92" s="36" t="n">
        <v>53</v>
      </c>
      <c r="C92" s="37" t="n">
        <v>3993000000</v>
      </c>
      <c r="E92" s="37" t="n">
        <v>4392300000</v>
      </c>
      <c r="F92" s="37" t="n">
        <v>1851</v>
      </c>
    </row>
    <row r="93">
      <c r="B93" s="36" t="n">
        <v>54</v>
      </c>
      <c r="C93" s="37" t="n">
        <v>4392300000</v>
      </c>
      <c r="E93" s="37" t="n">
        <v>4831530000</v>
      </c>
      <c r="F93" s="37" t="n">
        <v>1921</v>
      </c>
    </row>
    <row r="94">
      <c r="B94" s="36" t="n">
        <v>55</v>
      </c>
      <c r="C94" s="37" t="n">
        <v>4831530000</v>
      </c>
      <c r="E94" s="37" t="n">
        <v>5314680000</v>
      </c>
      <c r="F94" s="37" t="n">
        <v>1991</v>
      </c>
    </row>
    <row r="95">
      <c r="B95" s="36" t="n">
        <v>56</v>
      </c>
      <c r="C95" s="37" t="n">
        <v>5314680000</v>
      </c>
      <c r="E95" s="37" t="n">
        <v>5846150000</v>
      </c>
      <c r="F95" s="37" t="n">
        <v>2061</v>
      </c>
    </row>
    <row r="96">
      <c r="B96" s="36" t="n">
        <v>57</v>
      </c>
      <c r="C96" s="37" t="n">
        <v>5846150000</v>
      </c>
      <c r="E96" s="37" t="n">
        <v>6430770000</v>
      </c>
      <c r="F96" s="37" t="n">
        <v>2131</v>
      </c>
    </row>
    <row r="97">
      <c r="B97" s="36" t="n">
        <v>58</v>
      </c>
      <c r="C97" s="37" t="n">
        <v>6430770000</v>
      </c>
      <c r="E97" s="37" t="n">
        <v>7073850000</v>
      </c>
      <c r="F97" s="37" t="n">
        <v>2201</v>
      </c>
    </row>
    <row r="98">
      <c r="B98" s="36" t="n">
        <v>59</v>
      </c>
      <c r="C98" s="37" t="n">
        <v>7073850000</v>
      </c>
      <c r="E98" s="37" t="n">
        <v>7781240000</v>
      </c>
      <c r="F98" s="37" t="n">
        <v>2271</v>
      </c>
    </row>
    <row r="99">
      <c r="B99" s="36" t="n">
        <v>60</v>
      </c>
      <c r="C99" s="37" t="n">
        <v>7781240000</v>
      </c>
      <c r="E99" s="37" t="inlineStr">
        <is>
          <t>그 이상</t>
        </is>
      </c>
      <c r="F99" s="37" t="n">
        <v>2341</v>
      </c>
    </row>
    <row r="101">
      <c r="B101" s="38" t="inlineStr">
        <is>
          <t>확인 필요 — 원문으로 확인하지 못해 계산에 쓰지 않은 것</t>
        </is>
      </c>
    </row>
    <row r="102">
      <c r="B102" s="24" t="inlineStr">
        <is>
          <t>항목</t>
        </is>
      </c>
      <c r="C102" s="15" t="n"/>
      <c r="D102" s="15" t="n"/>
      <c r="E102" s="24" t="inlineStr">
        <is>
          <t>확인한 것</t>
        </is>
      </c>
      <c r="F102" s="15" t="n"/>
      <c r="G102" s="24" t="inlineStr">
        <is>
          <t>이 엑셀에서</t>
        </is>
      </c>
      <c r="H102" s="15" t="n"/>
    </row>
    <row r="103" ht="62" customHeight="1">
      <c r="B103" s="39" t="inlineStr">
        <is>
          <t>피부양자 소득 2천만원에 1천만원 이하 금융소득을 넣는지</t>
        </is>
      </c>
      <c r="E103" s="28" t="inlineStr">
        <is>
          <t>별표 1의2는 "영 제41조제1항 각 호의 소득 … 합계액"이라고만 적었다. 공단 누리집(피부양자 자격 인정기준)은 "모든 소득(사업·금융·연금·근로기타소득 등)을 합하여 연간 2천만원 이하". 1천만원 이하 합산 제외(시행규칙 제44조제1항 단서)는 "소득월액 산정에 포함되는 소득" 조항이라 피부양자 판정에도 쓰는지 원문으로 확인 못 함</t>
        </is>
      </c>
      <c r="G103" s="40" t="inlineStr">
        <is>
          <t>두 경우를 다 계산한다. 결과가 같으면 그대로, 다르면 판정 칸에 "확인 필요"</t>
        </is>
      </c>
      <c r="H103" s="41" t="inlineStr">
        <is>
          <t>확인 필요</t>
        </is>
      </c>
    </row>
    <row r="104" ht="62" customHeight="1">
      <c r="B104" s="39" t="inlineStr">
        <is>
          <t>건보 소득에 배당가산액을 넣는지</t>
        </is>
      </c>
      <c r="E104" s="28" t="inlineStr">
        <is>
          <t>시행규칙 제44조제1항제2호는 "「소득세법」 제17조제3항에 따라 산정한 배당소득금액". 공단이 가산액을 더하는지 공단 자료로 확인 못 함</t>
        </is>
      </c>
      <c r="G104" s="40" t="inlineStr">
        <is>
          <t>계산에 쓰지 않음. 배당은 받은 금액(세전) 그대로 건보 소득에 넣는다</t>
        </is>
      </c>
      <c r="H104" s="41" t="inlineStr">
        <is>
          <t>확인 필요</t>
        </is>
      </c>
    </row>
    <row r="105" ht="62" customHeight="1">
      <c r="B105" s="39" t="inlineStr">
        <is>
          <t>공단 지역보험료 모의계산이 1천만원 이하 금융소득을 스스로 빼는지</t>
        </is>
      </c>
      <c r="E105" s="28" t="inlineStr">
        <is>
          <t>계산은 공단 서버에서 하고, 화면은 이자·배당을 "사업소득 등" 칸에 합쳐 넣게 한다. 서버에 계산을 보내 보지 않았다</t>
        </is>
      </c>
      <c r="G105" s="40" t="inlineStr">
        <is>
          <t>법 원문(시행규칙 제44조제1항 단서)대로 1천만원 이하는 뺀다</t>
        </is>
      </c>
      <c r="H105" s="41" t="inlineStr">
        <is>
          <t>확인 필요</t>
        </is>
      </c>
    </row>
    <row r="106" ht="62" customHeight="1">
      <c r="B106" s="39" t="inlineStr">
        <is>
          <t>국내에서 원천징수되지 않은 이자·배당(해외 계좌로 직접 받은 것 등)</t>
        </is>
      </c>
      <c r="E106" s="28" t="inlineStr">
        <is>
          <t>국세상담센터: "원천징수되지 않은 금융소득(예시 : 국외원천 이자·배당소득)과 출자공동사업자의 배당소득은 2천만원 이하라도 종합과세합니다"</t>
        </is>
      </c>
      <c r="G106" s="40" t="inlineStr">
        <is>
          <t>계산하지 않음. 넣으면 2천만원 이하에서 추가 세금이 0으로 잘못 나온다</t>
        </is>
      </c>
      <c r="H106" s="41" t="inlineStr">
        <is>
          <t>확인 필요</t>
        </is>
      </c>
    </row>
    <row r="107" ht="62" customHeight="1">
      <c r="B107" s="39" t="inlineStr">
        <is>
          <t>외국납부세액공제</t>
        </is>
      </c>
      <c r="E107" s="28" t="inlineStr">
        <is>
          <t>소득세법 제57조(공제한도금액 = 산출세액 × 국외원천소득 ÷ 종합소득금액)</t>
        </is>
      </c>
      <c r="G107" s="40" t="inlineStr">
        <is>
          <t>계산에 쓰지 않음. 해외주식 배당이 있으면 실제 추가 세금은 이보다 적을 수 있다</t>
        </is>
      </c>
      <c r="H107" s="41" t="inlineStr">
        <is>
          <t>확인 필요</t>
        </is>
      </c>
    </row>
    <row r="108" ht="62" customHeight="1">
      <c r="B108" s="39" t="inlineStr">
        <is>
          <t>지방소득세</t>
        </is>
      </c>
      <c r="E108" s="28" t="inlineStr">
        <is>
          <t>지방세법 제93조제2항이 같은 비교 방식(세율은 소득세의 100분의 10 꼴)을 둔다. 배당세액공제에 해당하는 지방세 공제는 확인 못 함</t>
        </is>
      </c>
      <c r="G108" s="40" t="inlineStr">
        <is>
          <t>계산에 쓰지 않음(소득세만)</t>
        </is>
      </c>
      <c r="H108" s="41" t="inlineStr">
        <is>
          <t>확인 필요</t>
        </is>
      </c>
    </row>
    <row r="109" ht="62" customHeight="1">
      <c r="B109" s="39" t="inlineStr">
        <is>
          <t>고배당기업 배당 분리과세 특례</t>
        </is>
      </c>
      <c r="E109" s="28" t="inlineStr">
        <is>
          <t>조세특례제한법 제104조의27(2028년 12월 31일이 속하는 사업연도까지 발생하는 특례배당소득)</t>
        </is>
      </c>
      <c r="G109" s="40" t="inlineStr">
        <is>
          <t>계산에 쓰지 않음. 특례배당소득은 넣지 않는다</t>
        </is>
      </c>
      <c r="H109" s="41" t="inlineStr">
        <is>
          <t>확인 필요</t>
        </is>
      </c>
    </row>
    <row r="110" ht="62" customHeight="1">
      <c r="B110" s="39" t="inlineStr">
        <is>
          <t>표준세액공제 등 다른 세액공제</t>
        </is>
      </c>
      <c r="E110" s="28" t="inlineStr">
        <is>
          <t>소득세법 제15조제2호: 비교한 큰 금액에서 제56조의2·제57조·제59조의4 등의 세액공제를 한다</t>
        </is>
      </c>
      <c r="G110" s="40" t="inlineStr">
        <is>
          <t>계산에 쓰지 않음(두 세액 모두 공제 전)</t>
        </is>
      </c>
      <c r="H110" s="41" t="inlineStr">
        <is>
          <t>확인 필요</t>
        </is>
      </c>
    </row>
    <row r="111" ht="62" customHeight="1">
      <c r="B111" s="39" t="inlineStr">
        <is>
          <t>2027년 이후 점수당 금액·장기요양보험료율·하한·상한</t>
        </is>
      </c>
      <c r="E111" s="28" t="inlineStr">
        <is>
          <t>2027년 보험료율 7.19% 유지 심의만 확인(정책브리핑 2026.9.8)</t>
        </is>
      </c>
      <c r="G111" s="40" t="inlineStr">
        <is>
          <t>2026년 값으로 계산</t>
        </is>
      </c>
      <c r="H111" s="41" t="inlineStr">
        <is>
          <t>확인 필요</t>
        </is>
      </c>
    </row>
    <row r="112" ht="62" customHeight="1">
      <c r="B112" s="39" t="inlineStr">
        <is>
          <t>보험료 끝수(10원 미만) 처리</t>
        </is>
      </c>
      <c r="E112" s="28" t="inlineStr">
        <is>
          <t>원문 확인 못 함</t>
        </is>
      </c>
      <c r="G112" s="40" t="inlineStr">
        <is>
          <t>원 단위 반올림. 고지서와 끝자리가 다를 수 있다</t>
        </is>
      </c>
      <c r="H112" s="41" t="inlineStr">
        <is>
          <t>확인 필요</t>
        </is>
      </c>
    </row>
    <row r="113" ht="62" customHeight="1">
      <c r="B113" s="39" t="inlineStr">
        <is>
          <t>세대 단위·주택금융부채 공제·전월세</t>
        </is>
      </c>
      <c r="E113" s="28" t="inlineStr">
        <is>
          <t>국민건강보험법 제69조제5항 후단 "보험료액은 세대 단위로 산정한다", 별표 4 제1호나목(전월세)·제42조의2(부채 공제)</t>
        </is>
      </c>
      <c r="G113" s="40" t="inlineStr">
        <is>
          <t>계산하지 않음. 한 사람 소득·재산만 넣는다</t>
        </is>
      </c>
      <c r="H113" s="41" t="inlineStr">
        <is>
          <t>확인 필요</t>
        </is>
      </c>
    </row>
  </sheetData>
  <mergeCells count="11">
    <mergeCell ref="E113:F113"/>
    <mergeCell ref="E105:F105"/>
    <mergeCell ref="E107:F107"/>
    <mergeCell ref="E108:F108"/>
    <mergeCell ref="E106:F106"/>
    <mergeCell ref="E104:F104"/>
    <mergeCell ref="E103:F103"/>
    <mergeCell ref="E112:F112"/>
    <mergeCell ref="E111:F111"/>
    <mergeCell ref="E110:F110"/>
    <mergeCell ref="E109:F10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42" t="inlineStr">
        <is>
          <t>쓰는 법</t>
        </is>
      </c>
    </row>
    <row r="3">
      <c r="B3" s="43" t="inlineStr">
        <is>
          <t>1. 「판정」 시트 회색 칸에 1년 이자·배당(세금 떼기 전)을 넣고, 지금 건강보험 자격을 고릅니다.</t>
        </is>
      </c>
    </row>
    <row r="4">
      <c r="B4" s="43" t="inlineStr">
        <is>
          <t>2. 국민연금 같은 공적연금, 다른 종합소득, 재산세 과세표준이 있으면 (선택) 칸에 넣어요. 없으면 비워 두세요.</t>
        </is>
      </c>
    </row>
    <row r="5">
      <c r="B5" s="43" t="inlineStr">
        <is>
          <t>3. 맨 위 큰 숫자가 건보료, 그 아래 줄이 종합과세로 더 내는 소득세입니다. 계산 과정은 「근거 표」에 한 줄씩 있어요.</t>
        </is>
      </c>
    </row>
    <row r="6">
      <c r="B6" s="43" t="inlineStr"/>
    </row>
    <row r="7">
      <c r="B7" s="42" t="inlineStr">
        <is>
          <t>무엇을 계산하나</t>
        </is>
      </c>
    </row>
    <row r="8">
      <c r="B8" s="43" t="inlineStr">
        <is>
          <t>· 소득세: 금융소득이 2천만원을 넘으면 (① 종합과세 시 세액 − 배당세액공제)와 (② 분리과세 시 세액) 가운데 큰 것을 냅니다. ②와의 차이를 「더 내는 소득세」로 보여 줍니다.</t>
        </is>
      </c>
    </row>
    <row r="9">
      <c r="B9" s="43" t="inlineStr">
        <is>
          <t>· 피부양자: 소득 합계 2천만원(재산세 과세표준 5.4억~9억원이면 1천만원), 재산세 과세표준 9억원 기준으로 봅니다.</t>
        </is>
      </c>
    </row>
    <row r="10">
      <c r="B10" s="43" t="inlineStr">
        <is>
          <t>· 지역가입자: (소득월액 × 7.19% 또는 하한 20,160원) + (재산 점수 × 211.5원), 여기에 장기요양보험료를 더합니다.</t>
        </is>
      </c>
    </row>
    <row r="11">
      <c r="B11" s="43" t="inlineStr"/>
    </row>
    <row r="12">
      <c r="B12" s="42" t="inlineStr">
        <is>
          <t>언제 반영되나</t>
        </is>
      </c>
    </row>
    <row r="13">
      <c r="B13" s="43" t="inlineStr">
        <is>
          <t>· 이자·배당 같은 소득은 다음 해 11월부터 그다음 해 10월까지 건보료에 들어갑니다(국민건강보험법 시행령 제41조제3항). 예: 2026년 이자·배당 → 2027년 11월~2028년 10월.</t>
        </is>
      </c>
    </row>
    <row r="14">
      <c r="B14" s="43" t="inlineStr">
        <is>
          <t>· 종합소득세는 다음 해 5월에 신고합니다.</t>
        </is>
      </c>
    </row>
    <row r="15">
      <c r="B15" s="43" t="inlineStr"/>
    </row>
    <row r="16">
      <c r="B16" s="42" t="inlineStr">
        <is>
          <t>넣지 않은 것</t>
        </is>
      </c>
    </row>
    <row r="17">
      <c r="B17" s="43" t="inlineStr">
        <is>
          <t>· 지방소득세, 외국에서 낸 세금 공제, 표준세액공제 같은 다른 세액공제, 고배당기업 배당 분리과세 특례.</t>
        </is>
      </c>
    </row>
    <row r="18">
      <c r="B18" s="43" t="inlineStr">
        <is>
          <t>· 국내에서 세금을 떼지 않은 이자·배당(해외 계좌로 직접 받은 것 등). 이런 소득은 2천만원 이하여도 종합과세 대상입니다(국세상담센터).</t>
        </is>
      </c>
    </row>
    <row r="19">
      <c r="B19" s="43" t="inlineStr">
        <is>
          <t>· 사업소득·주택임대소득이 있으면 피부양자 판정이 달라집니다(별표 1의2 제1호나목). 이 파일은 이 경우를 판정하지 않아요.</t>
        </is>
      </c>
    </row>
    <row r="20">
      <c r="B20" s="43" t="inlineStr">
        <is>
          <t>· 건보료는 세대 단위로 매깁니다. 이 파일은 한 사람 몫만 계산하고, 전월세·주택금융부채 공제·자동차는 넣지 않았습니다.</t>
        </is>
      </c>
    </row>
    <row r="21">
      <c r="B21" s="43" t="inlineStr">
        <is>
          <t>· 확인하지 못한 기준은 「기준값」 시트 아래 「확인 필요」에 모았습니다. 계산에는 쓰지 않았어요.</t>
        </is>
      </c>
    </row>
    <row r="22">
      <c r="B22" s="43" t="inlineStr"/>
    </row>
    <row r="23">
      <c r="B23" s="42" t="inlineStr">
        <is>
          <t>알림</t>
        </is>
      </c>
    </row>
    <row r="24">
      <c r="B24" s="43" t="inlineStr">
        <is>
          <t>· 이 파일은 계산 도구이며 투자 조언이 아닙니다. 특정 금융상품을 추천하지 않습니다.</t>
        </is>
      </c>
    </row>
    <row r="25">
      <c r="B25" s="43" t="inlineStr">
        <is>
          <t>· 기준일 2026-10-12. 보험료율·세율이 바뀌면 「기준값」 시트의 값만 고치면 됩니다.</t>
        </is>
      </c>
    </row>
    <row r="26">
      <c r="B26" s="44" t="inlineStr">
        <is>
          <t>firemap.kr</t>
        </is>
      </c>
    </row>
  </sheetData>
  <hyperlinks>
    <hyperlink xmlns:r="http://schemas.openxmlformats.org/officeDocument/2006/relationships" ref="B2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2026-10-12T11:48:12Z</dcterms:created>
  <dcterms:modified xmlns:dcterms="http://purl.org/dc/terms/" xmlns:xsi="http://www.w3.org/2001/XMLSchema-instance" xsi:type="dcterms:W3CDTF">2026-10-12T11:48:12Z</dcterms:modified>
</cp:coreProperties>
</file>